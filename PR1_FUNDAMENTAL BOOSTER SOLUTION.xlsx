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30B6647F-3C4F-431C-8F63-EEEB509268B2}" xr6:coauthVersionLast="47" xr6:coauthVersionMax="47" xr10:uidLastSave="{00000000-0000-0000-0000-000000000000}"/>
  <bookViews>
    <workbookView xWindow="-108" yWindow="-108" windowWidth="23256" windowHeight="12456" xr2:uid="{9633D49B-B0BA-4609-8ADE-515409052A06}"/>
  </bookViews>
  <sheets>
    <sheet name="employee" sheetId="1" r:id="rId1"/>
    <sheet name="sales" sheetId="2" r:id="rId2"/>
    <sheet name="studen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7" i="1" l="1"/>
  <c r="H2" i="1"/>
  <c r="G2" i="1"/>
  <c r="F2" i="1"/>
  <c r="G3" i="1"/>
  <c r="L7" i="2"/>
  <c r="H2" i="3"/>
  <c r="G2" i="3"/>
  <c r="D33" i="3" s="1" a="1"/>
  <c r="D33" i="3" s="1"/>
  <c r="T23" i="3"/>
  <c r="T15" i="3"/>
  <c r="T8" i="3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G3" i="3"/>
  <c r="H3" i="3" s="1"/>
  <c r="G4" i="3"/>
  <c r="H4" i="3" s="1"/>
  <c r="G5" i="3"/>
  <c r="H5" i="3" s="1"/>
  <c r="G6" i="3"/>
  <c r="H6" i="3" s="1"/>
  <c r="G7" i="3"/>
  <c r="H7" i="3" s="1"/>
  <c r="G8" i="3"/>
  <c r="H8" i="3" s="1"/>
  <c r="G9" i="3"/>
  <c r="H9" i="3" s="1"/>
  <c r="G10" i="3"/>
  <c r="H10" i="3" s="1"/>
  <c r="G11" i="3"/>
  <c r="H11" i="3" s="1"/>
  <c r="G12" i="3"/>
  <c r="H12" i="3" s="1"/>
  <c r="G13" i="3"/>
  <c r="H13" i="3" s="1"/>
  <c r="G14" i="3"/>
  <c r="H14" i="3" s="1"/>
  <c r="G15" i="3"/>
  <c r="H15" i="3" s="1"/>
  <c r="G16" i="3"/>
  <c r="H16" i="3" s="1"/>
  <c r="G17" i="3"/>
  <c r="H17" i="3" s="1"/>
  <c r="G18" i="3"/>
  <c r="H18" i="3" s="1"/>
  <c r="G19" i="3"/>
  <c r="H19" i="3" s="1"/>
  <c r="G20" i="3"/>
  <c r="H20" i="3" s="1"/>
  <c r="G21" i="3"/>
  <c r="H21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<sst xmlns="http://schemas.openxmlformats.org/spreadsheetml/2006/main" count="157" uniqueCount="109">
  <si>
    <t>Employee ID</t>
  </si>
  <si>
    <t>Name</t>
  </si>
  <si>
    <t>Department</t>
  </si>
  <si>
    <t>Salary</t>
  </si>
  <si>
    <t>Joining Date</t>
  </si>
  <si>
    <t>Employee 1</t>
  </si>
  <si>
    <t>Finance</t>
  </si>
  <si>
    <t>Employee 2</t>
  </si>
  <si>
    <t>Employee 3</t>
  </si>
  <si>
    <t>HR</t>
  </si>
  <si>
    <t>Employee 4</t>
  </si>
  <si>
    <t>Employee 5</t>
  </si>
  <si>
    <t>IT</t>
  </si>
  <si>
    <t>Employee 6</t>
  </si>
  <si>
    <t>Employee 7</t>
  </si>
  <si>
    <t>Marketing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</si>
  <si>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</si>
  <si>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</si>
  <si>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</si>
  <si>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</si>
  <si>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</si>
  <si>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</si>
  <si>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</si>
  <si>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</si>
  <si>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</si>
  <si>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</si>
  <si>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</si>
  <si>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</si>
  <si>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</si>
  <si>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Sales ID</t>
  </si>
  <si>
    <t>Product</t>
  </si>
  <si>
    <t>Region</t>
  </si>
  <si>
    <t>Salesperson</t>
  </si>
  <si>
    <t>Amount</t>
  </si>
  <si>
    <t>Date</t>
  </si>
  <si>
    <t>Keyboard</t>
  </si>
  <si>
    <t>South</t>
  </si>
  <si>
    <t>Person 1</t>
  </si>
  <si>
    <t>Printer</t>
  </si>
  <si>
    <t>West</t>
  </si>
  <si>
    <t>Person 2</t>
  </si>
  <si>
    <t>Mouse</t>
  </si>
  <si>
    <t>Person 3</t>
  </si>
  <si>
    <t>East</t>
  </si>
  <si>
    <t>Person 4</t>
  </si>
  <si>
    <t>North</t>
  </si>
  <si>
    <t>Person 5</t>
  </si>
  <si>
    <t>Person 6</t>
  </si>
  <si>
    <t>Person 7</t>
  </si>
  <si>
    <t>Person 8</t>
  </si>
  <si>
    <t>Person 9</t>
  </si>
  <si>
    <t>Person 10</t>
  </si>
  <si>
    <t>Person 11</t>
  </si>
  <si>
    <t>Monitor</t>
  </si>
  <si>
    <t>Person 12</t>
  </si>
  <si>
    <t>Laptop</t>
  </si>
  <si>
    <t>Person 13</t>
  </si>
  <si>
    <t>Person 14</t>
  </si>
  <si>
    <t>Person 15</t>
  </si>
  <si>
    <t>Person 16</t>
  </si>
  <si>
    <t>Person 17</t>
  </si>
  <si>
    <t>Person 18</t>
  </si>
  <si>
    <t>Person 19</t>
  </si>
  <si>
    <t>Person 20</t>
  </si>
  <si>
    <t>Student ID</t>
  </si>
  <si>
    <t>Math</t>
  </si>
  <si>
    <t>Science</t>
  </si>
  <si>
    <t>English</t>
  </si>
  <si>
    <t>Enrollment Date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</si>
  <si>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</si>
  <si>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</si>
  <si>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</si>
  <si>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</si>
  <si>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</si>
  <si>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</si>
  <si>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</si>
  <si>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</si>
  <si>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</si>
  <si>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</si>
  <si>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</si>
  <si>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</si>
  <si>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</si>
  <si>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</si>
  <si>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</si>
  <si>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</si>
  <si>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</si>
  <si>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</si>
  <si>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</si>
  <si>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</si>
  <si>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Grades</t>
  </si>
  <si>
    <t>Average</t>
  </si>
  <si>
    <t xml:space="preserve">countif the marks in maths has &gt;60 </t>
  </si>
  <si>
    <t>countif the marks in english has &gt;60</t>
  </si>
  <si>
    <t>countif the marks in science has &gt;60</t>
  </si>
  <si>
    <t>vlookup</t>
  </si>
  <si>
    <t>xlookup</t>
  </si>
  <si>
    <t>Year</t>
  </si>
  <si>
    <t>Month</t>
  </si>
  <si>
    <t>Year of Service</t>
  </si>
  <si>
    <t>Filtering by avg &gt;80 =</t>
  </si>
  <si>
    <t>Using  =COUNTIFS(E2:E21,"&gt;60") to find the number of students who scored more than 60 in english from the given table.</t>
  </si>
  <si>
    <t>Using     =COUNTIFS(C2:C21,"&gt;60") to find the number of students who scored more than 60 in Maths.</t>
  </si>
  <si>
    <t>Using  =COUNTIFS(D2:D21,"&gt;60") to find the number of students who has scored more than 60 in science from the given table.</t>
  </si>
  <si>
    <t>Using  =FILTER(A2:H21,G2:G21&gt;80) to find the students using filter function to extract students with grades above 80</t>
  </si>
  <si>
    <t xml:space="preserve"># Average table was created by selecting  =AVERAGE(C2:E2) i.e marks of all three subjects to get the average marks.                                   # Grades was created by selecting =IF(G2&gt;=90,"A", i.e, the average marks being at what category accordingly they get the preferred grades.  </t>
  </si>
  <si>
    <t>Using   =VLOOKUP("Mouse",B2:F21,4,FALSE) to find the product (mouse)  price from the sales data.</t>
  </si>
  <si>
    <r>
      <t xml:space="preserve">Here we created the year table by using  </t>
    </r>
    <r>
      <rPr>
        <b/>
        <sz val="16"/>
        <color theme="1"/>
        <rFont val="Aptos Narrow"/>
        <family val="2"/>
        <scheme val="minor"/>
      </rPr>
      <t>=YEAR(E2)</t>
    </r>
    <r>
      <rPr>
        <b/>
        <sz val="12"/>
        <color theme="1"/>
        <rFont val="Aptos Narrow"/>
        <family val="2"/>
        <scheme val="minor"/>
      </rPr>
      <t xml:space="preserve"> is that selecting the joining date of the employee.                            Same way the month column was created by using the joining date of the employee  </t>
    </r>
    <r>
      <rPr>
        <b/>
        <sz val="16"/>
        <color theme="1"/>
        <rFont val="Aptos Narrow"/>
        <family val="2"/>
        <scheme val="minor"/>
      </rPr>
      <t>=TEXT(E2,"MMMM")</t>
    </r>
    <r>
      <rPr>
        <b/>
        <sz val="12"/>
        <color theme="1"/>
        <rFont val="Aptos Narrow"/>
        <family val="2"/>
        <scheme val="minor"/>
      </rPr>
      <t xml:space="preserve"> .                                                        Years of service here refers to the number of years the employee has done its job till now.  </t>
    </r>
    <r>
      <rPr>
        <b/>
        <sz val="16"/>
        <color theme="1"/>
        <rFont val="Aptos Narrow"/>
        <family val="2"/>
        <scheme val="minor"/>
      </rPr>
      <t>=DATEDIF(E2,TODAY(),"Y")</t>
    </r>
  </si>
  <si>
    <t>id</t>
  </si>
  <si>
    <t>Using Xlookup to fetch employee salary dynamically by selecting emloyee id and there salary   =XLOOKUP(R6,A2:A21,D2:D21)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</si>
</sst>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22" fontId="3" fillId="0" borderId="4" xfId="0" applyNumberFormat="1" applyFont="1" applyBorder="1" applyAlignment="1">
      <alignment horizontal="center" vertical="center"/>
    </xf>
    <xf numFmtId="0" fontId="1" fillId="0" borderId="0" xfId="0" applyFont="1"/>
    <xf numFmtId="0" fontId="1" fillId="3" borderId="0" xfId="0" applyFont="1" applyFill="1"/>
    <xf numFmtId="0" fontId="0" fillId="0" borderId="0" xfId="0" applyAlignment="1">
      <alignment horizontal="center" vertical="top"/>
    </xf>
    <xf numFmtId="0" fontId="0" fillId="0" borderId="0" xfId="0" applyAlignment="1">
      <alignment wrapText="1"/>
    </xf>
    <xf numFmtId="0" fontId="4" fillId="4" borderId="0" xfId="0" applyFont="1" applyFill="1" applyAlignment="1">
      <alignment horizontal="left" vertical="top" wrapText="1"/>
    </xf>
    <xf numFmtId="0" fontId="0" fillId="4" borderId="0" xfId="0" applyFill="1" applyAlignment="1">
      <alignment horizontal="left" vertical="top" wrapText="1"/>
    </xf>
    <xf numFmtId="0" fontId="6" fillId="4" borderId="0" xfId="0" applyFont="1" applyFill="1" applyAlignment="1">
      <alignment horizontal="left" vertical="top" wrapText="1"/>
    </xf>
    <xf numFmtId="0" fontId="1" fillId="4" borderId="0" xfId="0" applyFont="1" applyFill="1" applyAlignment="1">
      <alignment horizontal="left" vertical="top" wrapText="1"/>
    </xf>
    <xf numFmtId="0" fontId="4" fillId="5" borderId="0" xfId="0" applyFont="1" applyFill="1" applyAlignment="1">
      <alignment horizontal="left" vertical="top" wrapText="1"/>
    </xf>
    <xf numFmtId="0" fontId="4" fillId="3" borderId="0" xfId="0" applyFont="1" applyFill="1" applyAlignment="1">
      <alignment horizontal="left" vertical="top" wrapText="1"/>
    </xf>
    <xf numFmtId="0" fontId="5" fillId="3" borderId="0" xfId="0" applyFont="1" applyFill="1" applyAlignment="1">
      <alignment horizontal="left" vertical="top" wrapText="1"/>
    </xf>
    <xf numFmtId="0" fontId="4" fillId="6" borderId="0" xfId="0" applyFont="1" applyFill="1" applyAlignment="1">
      <alignment horizontal="left" vertical="top" wrapText="1"/>
    </xf>
    <xf numFmtId="0" fontId="1" fillId="6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BC971-48C3-4C80-A689-C6EE2DA0C651}">
  <dimension ref="A1:R21"/>
  <sheetViews>
    <sheetView tabSelected="1" workbookViewId="0">
      <selection activeCell="P19" sqref="P19"/>
    </sheetView>
  </sheetViews>
  <sheetFormatPr defaultRowHeight="14.4" x14ac:dyDescent="0.3"/>
  <cols>
    <col min="1" max="1" width="11.5546875" bestFit="1" customWidth="1"/>
    <col min="2" max="2" width="11.44140625" bestFit="1" customWidth="1"/>
    <col min="3" max="3" width="11.109375" bestFit="1" customWidth="1"/>
    <col min="4" max="4" width="7" bestFit="1" customWidth="1"/>
    <col min="5" max="5" width="14.6640625" bestFit="1" customWidth="1"/>
    <col min="7" max="7" width="9.77734375" bestFit="1" customWidth="1"/>
    <col min="8" max="8" width="13.21875" bestFit="1" customWidth="1"/>
  </cols>
  <sheetData>
    <row r="1" spans="1:18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6" t="s">
        <v>96</v>
      </c>
      <c r="G1" s="6" t="s">
        <v>97</v>
      </c>
      <c r="H1" s="6" t="s">
        <v>98</v>
      </c>
    </row>
    <row r="2" spans="1:18" ht="15" thickBot="1" x14ac:dyDescent="0.35">
      <c r="A2" s="3">
        <v>3001</v>
      </c>
      <c r="B2" s="4" t="s">
        <v>5</v>
      </c>
      <c r="C2" s="4" t="s">
        <v>6</v>
      </c>
      <c r="D2" s="4">
        <v>86766</v>
      </c>
      <c r="E2" s="5">
        <v>42005</v>
      </c>
      <c r="F2">
        <f>YEAR(E2)</f>
        <v>2015</v>
      </c>
      <c r="G2" t="str">
        <f>TEXT(E2,"MMMM")</f>
        <v>January</v>
      </c>
      <c r="H2">
        <f ca="1">DATEDIF(E2,TODAY(),"Y")</f>
        <v>11</v>
      </c>
      <c r="K2" s="15" t="s">
        <v>106</v>
      </c>
      <c r="L2" s="16"/>
      <c r="M2" s="16"/>
      <c r="N2" s="16"/>
    </row>
    <row r="3" spans="1:18" ht="15" thickBot="1" x14ac:dyDescent="0.35">
      <c r="A3" s="3">
        <v>3002</v>
      </c>
      <c r="B3" s="4" t="s">
        <v>7</v>
      </c>
      <c r="C3" s="4" t="s">
        <v>6</v>
      </c>
      <c r="D3" s="4">
        <v>31943</v>
      </c>
      <c r="E3" s="5">
        <v>42255</v>
      </c>
      <c r="F3">
        <f t="shared" ref="F3:F21" si="0">YEAR(E3)</f>
        <v>2015</v>
      </c>
      <c r="G3" t="str">
        <f>TEXT(E3,"MMMM")</f>
        <v>September</v>
      </c>
      <c r="H3">
        <f t="shared" ref="H3:H16" ca="1" si="1">DATEDIF(E3,TODAY(),"Y")</f>
        <v>10</v>
      </c>
      <c r="K3" s="16"/>
      <c r="L3" s="16"/>
      <c r="M3" s="16"/>
      <c r="N3" s="16"/>
    </row>
    <row r="4" spans="1:18" ht="15" thickBot="1" x14ac:dyDescent="0.35">
      <c r="A4" s="3">
        <v>3003</v>
      </c>
      <c r="B4" s="4" t="s">
        <v>8</v>
      </c>
      <c r="C4" s="4" t="s">
        <v>9</v>
      </c>
      <c r="D4" s="4">
        <v>63374</v>
      </c>
      <c r="E4" s="5">
        <v>42505</v>
      </c>
      <c r="F4">
        <f t="shared" si="0"/>
        <v>2016</v>
      </c>
      <c r="G4" t="str">
        <f t="shared" ref="G3:G21" si="2">TEXT(E4,"MMMM")</f>
        <v>May</v>
      </c>
      <c r="H4">
        <f t="shared" ca="1" si="1"/>
        <v>9</v>
      </c>
      <c r="K4" s="16"/>
      <c r="L4" s="16"/>
      <c r="M4" s="16"/>
      <c r="N4" s="16"/>
    </row>
    <row r="5" spans="1:18" ht="15" thickBot="1" x14ac:dyDescent="0.35">
      <c r="A5" s="3">
        <v>3004</v>
      </c>
      <c r="B5" s="4" t="s">
        <v>10</v>
      </c>
      <c r="C5" s="4" t="s">
        <v>6</v>
      </c>
      <c r="D5" s="4">
        <v>109972</v>
      </c>
      <c r="E5" s="5">
        <v>42755</v>
      </c>
      <c r="F5">
        <f t="shared" si="0"/>
        <v>2017</v>
      </c>
      <c r="G5" t="str">
        <f t="shared" si="2"/>
        <v>January</v>
      </c>
      <c r="H5">
        <f t="shared" ca="1" si="1"/>
        <v>9</v>
      </c>
      <c r="K5" s="16"/>
      <c r="L5" s="16"/>
      <c r="M5" s="16"/>
      <c r="N5" s="16"/>
    </row>
    <row r="6" spans="1:18" ht="15" thickBot="1" x14ac:dyDescent="0.35">
      <c r="A6" s="3">
        <v>3005</v>
      </c>
      <c r="B6" s="4" t="s">
        <v>11</v>
      </c>
      <c r="C6" s="4" t="s">
        <v>12</v>
      </c>
      <c r="D6" s="4">
        <v>54149</v>
      </c>
      <c r="E6" s="5">
        <v>43005</v>
      </c>
      <c r="F6">
        <f t="shared" si="0"/>
        <v>2017</v>
      </c>
      <c r="G6" t="str">
        <f t="shared" si="2"/>
        <v>September</v>
      </c>
      <c r="H6">
        <f t="shared" ca="1" si="1"/>
        <v>8</v>
      </c>
      <c r="K6" s="16"/>
      <c r="L6" s="16"/>
      <c r="M6" s="16"/>
      <c r="N6" s="16"/>
      <c r="Q6" t="s">
        <v>107</v>
      </c>
      <c r="R6">
        <v>3005</v>
      </c>
    </row>
    <row r="7" spans="1:18" ht="15" thickBot="1" x14ac:dyDescent="0.35">
      <c r="A7" s="3">
        <v>3006</v>
      </c>
      <c r="B7" s="4" t="s">
        <v>13</v>
      </c>
      <c r="C7" s="4" t="s">
        <v>12</v>
      </c>
      <c r="D7" s="4">
        <v>78689</v>
      </c>
      <c r="E7" s="5">
        <v>43255</v>
      </c>
      <c r="F7">
        <f t="shared" si="0"/>
        <v>2018</v>
      </c>
      <c r="G7" t="str">
        <f t="shared" si="2"/>
        <v>June</v>
      </c>
      <c r="H7">
        <f t="shared" ca="1" si="1"/>
        <v>7</v>
      </c>
      <c r="K7" s="16"/>
      <c r="L7" s="16"/>
      <c r="M7" s="16"/>
      <c r="N7" s="16"/>
      <c r="Q7" t="s">
        <v>95</v>
      </c>
      <c r="R7">
        <f>_xlfn.XLOOKUP(R6,A2:A21,D2:D21)</f>
        <v>54149</v>
      </c>
    </row>
    <row r="8" spans="1:18" ht="15" thickBot="1" x14ac:dyDescent="0.35">
      <c r="A8" s="3">
        <v>3007</v>
      </c>
      <c r="B8" s="4" t="s">
        <v>14</v>
      </c>
      <c r="C8" s="4" t="s">
        <v>15</v>
      </c>
      <c r="D8" s="4">
        <v>35960</v>
      </c>
      <c r="E8" s="5">
        <v>43505</v>
      </c>
      <c r="F8">
        <f t="shared" si="0"/>
        <v>2019</v>
      </c>
      <c r="G8" t="str">
        <f t="shared" si="2"/>
        <v>February</v>
      </c>
      <c r="H8">
        <f t="shared" ca="1" si="1"/>
        <v>7</v>
      </c>
      <c r="K8" s="16"/>
      <c r="L8" s="16"/>
      <c r="M8" s="16"/>
      <c r="N8" s="16"/>
    </row>
    <row r="9" spans="1:18" ht="15" thickBot="1" x14ac:dyDescent="0.35">
      <c r="A9" s="3">
        <v>3008</v>
      </c>
      <c r="B9" s="4" t="s">
        <v>16</v>
      </c>
      <c r="C9" s="4" t="s">
        <v>12</v>
      </c>
      <c r="D9" s="4">
        <v>91659</v>
      </c>
      <c r="E9" s="5">
        <v>43755</v>
      </c>
      <c r="F9">
        <f t="shared" si="0"/>
        <v>2019</v>
      </c>
      <c r="G9" t="str">
        <f t="shared" si="2"/>
        <v>October</v>
      </c>
      <c r="H9">
        <f t="shared" ca="1" si="1"/>
        <v>6</v>
      </c>
      <c r="K9" s="16"/>
      <c r="L9" s="16"/>
      <c r="M9" s="16"/>
      <c r="N9" s="16"/>
    </row>
    <row r="10" spans="1:18" ht="15" thickBot="1" x14ac:dyDescent="0.35">
      <c r="A10" s="3">
        <v>3009</v>
      </c>
      <c r="B10" s="4" t="s">
        <v>17</v>
      </c>
      <c r="C10" s="4" t="s">
        <v>12</v>
      </c>
      <c r="D10" s="4">
        <v>90423</v>
      </c>
      <c r="E10" s="5">
        <v>44005</v>
      </c>
      <c r="F10">
        <f t="shared" si="0"/>
        <v>2020</v>
      </c>
      <c r="G10" t="str">
        <f t="shared" si="2"/>
        <v>June</v>
      </c>
      <c r="H10">
        <f t="shared" ca="1" si="1"/>
        <v>5</v>
      </c>
      <c r="K10" s="16"/>
      <c r="L10" s="16"/>
      <c r="M10" s="16"/>
      <c r="N10" s="16"/>
    </row>
    <row r="11" spans="1:18" ht="15" thickBot="1" x14ac:dyDescent="0.35">
      <c r="A11" s="3">
        <v>3010</v>
      </c>
      <c r="B11" s="4" t="s">
        <v>18</v>
      </c>
      <c r="C11" s="4" t="s">
        <v>9</v>
      </c>
      <c r="D11" s="4">
        <v>107877</v>
      </c>
      <c r="E11" s="5">
        <v>44255</v>
      </c>
      <c r="F11">
        <f t="shared" si="0"/>
        <v>2021</v>
      </c>
      <c r="G11" t="str">
        <f t="shared" si="2"/>
        <v>February</v>
      </c>
      <c r="H11">
        <f t="shared" ca="1" si="1"/>
        <v>4</v>
      </c>
      <c r="K11" s="16"/>
      <c r="L11" s="16"/>
      <c r="M11" s="16"/>
      <c r="N11" s="16"/>
    </row>
    <row r="12" spans="1:18" ht="15" thickBot="1" x14ac:dyDescent="0.35">
      <c r="A12" s="3">
        <v>3011</v>
      </c>
      <c r="B12" s="4" t="s">
        <v>19</v>
      </c>
      <c r="C12" s="4" t="s">
        <v>6</v>
      </c>
      <c r="D12" s="4">
        <v>107634</v>
      </c>
      <c r="E12" s="5">
        <v>44505</v>
      </c>
      <c r="F12">
        <f t="shared" si="0"/>
        <v>2021</v>
      </c>
      <c r="G12" t="str">
        <f t="shared" si="2"/>
        <v>November</v>
      </c>
      <c r="H12">
        <f t="shared" ca="1" si="1"/>
        <v>4</v>
      </c>
      <c r="K12" s="16"/>
      <c r="L12" s="16"/>
      <c r="M12" s="16"/>
      <c r="N12" s="16"/>
    </row>
    <row r="13" spans="1:18" ht="15" thickBot="1" x14ac:dyDescent="0.35">
      <c r="A13" s="3">
        <v>3012</v>
      </c>
      <c r="B13" s="4" t="s">
        <v>20</v>
      </c>
      <c r="C13" s="4" t="s">
        <v>6</v>
      </c>
      <c r="D13" s="4">
        <v>35226</v>
      </c>
      <c r="E13" s="5">
        <v>44755</v>
      </c>
      <c r="F13">
        <f t="shared" si="0"/>
        <v>2022</v>
      </c>
      <c r="G13" t="str">
        <f t="shared" si="2"/>
        <v>July</v>
      </c>
      <c r="H13">
        <f t="shared" ca="1" si="1"/>
        <v>3</v>
      </c>
      <c r="K13" s="16"/>
      <c r="L13" s="16"/>
      <c r="M13" s="16"/>
      <c r="N13" s="16"/>
    </row>
    <row r="14" spans="1:18" ht="15" thickBot="1" x14ac:dyDescent="0.35">
      <c r="A14" s="3">
        <v>3013</v>
      </c>
      <c r="B14" s="4" t="s">
        <v>21</v>
      </c>
      <c r="C14" s="4" t="s">
        <v>9</v>
      </c>
      <c r="D14" s="4">
        <v>40872</v>
      </c>
      <c r="E14" s="5">
        <v>45005</v>
      </c>
      <c r="F14">
        <f t="shared" si="0"/>
        <v>2023</v>
      </c>
      <c r="G14" t="str">
        <f t="shared" si="2"/>
        <v>March</v>
      </c>
      <c r="H14">
        <f t="shared" ca="1" si="1"/>
        <v>2</v>
      </c>
      <c r="K14" s="16"/>
      <c r="L14" s="16"/>
      <c r="M14" s="16"/>
      <c r="N14" s="16"/>
    </row>
    <row r="15" spans="1:18" ht="15" thickBot="1" x14ac:dyDescent="0.35">
      <c r="A15" s="3">
        <v>3014</v>
      </c>
      <c r="B15" s="4" t="s">
        <v>22</v>
      </c>
      <c r="C15" s="4" t="s">
        <v>9</v>
      </c>
      <c r="D15" s="4">
        <v>55378</v>
      </c>
      <c r="E15" s="5">
        <v>45255</v>
      </c>
      <c r="F15">
        <f t="shared" si="0"/>
        <v>2023</v>
      </c>
      <c r="G15" t="str">
        <f t="shared" si="2"/>
        <v>November</v>
      </c>
      <c r="H15">
        <f t="shared" ca="1" si="1"/>
        <v>2</v>
      </c>
      <c r="K15" s="16"/>
      <c r="L15" s="16"/>
      <c r="M15" s="16"/>
      <c r="N15" s="16"/>
    </row>
    <row r="16" spans="1:18" ht="15" thickBot="1" x14ac:dyDescent="0.35">
      <c r="A16" s="3">
        <v>3015</v>
      </c>
      <c r="B16" s="4" t="s">
        <v>23</v>
      </c>
      <c r="C16" s="4" t="s">
        <v>9</v>
      </c>
      <c r="D16" s="4">
        <v>63297</v>
      </c>
      <c r="E16" s="5">
        <v>45505</v>
      </c>
      <c r="F16">
        <f t="shared" si="0"/>
        <v>2024</v>
      </c>
      <c r="G16" t="str">
        <f t="shared" si="2"/>
        <v>August</v>
      </c>
      <c r="H16">
        <f t="shared" ca="1" si="1"/>
        <v>1</v>
      </c>
    </row>
    <row r="17" spans="1:15" ht="15" thickBot="1" x14ac:dyDescent="0.35">
      <c r="A17" s="3">
        <v>3016</v>
      </c>
      <c r="B17" s="4" t="s">
        <v>24</v>
      </c>
      <c r="C17" s="4" t="s">
        <v>6</v>
      </c>
      <c r="D17" s="4">
        <v>114173</v>
      </c>
      <c r="E17" s="5">
        <v>45755</v>
      </c>
      <c r="F17">
        <f t="shared" si="0"/>
        <v>2025</v>
      </c>
      <c r="G17" t="str">
        <f t="shared" si="2"/>
        <v>April</v>
      </c>
    </row>
    <row r="18" spans="1:15" ht="15" thickBot="1" x14ac:dyDescent="0.35">
      <c r="A18" s="3">
        <v>3017</v>
      </c>
      <c r="B18" s="4" t="s">
        <v>25</v>
      </c>
      <c r="C18" s="4" t="s">
        <v>9</v>
      </c>
      <c r="D18" s="4">
        <v>86915</v>
      </c>
      <c r="E18" s="5">
        <v>46005</v>
      </c>
      <c r="F18">
        <f t="shared" si="0"/>
        <v>2025</v>
      </c>
      <c r="G18" t="str">
        <f t="shared" si="2"/>
        <v>December</v>
      </c>
      <c r="K18" s="17" t="s">
        <v>108</v>
      </c>
      <c r="L18" s="18"/>
      <c r="M18" s="18"/>
      <c r="N18" s="18"/>
      <c r="O18" s="18"/>
    </row>
    <row r="19" spans="1:15" ht="15" thickBot="1" x14ac:dyDescent="0.35">
      <c r="A19" s="3">
        <v>3018</v>
      </c>
      <c r="B19" s="4" t="s">
        <v>26</v>
      </c>
      <c r="C19" s="4" t="s">
        <v>12</v>
      </c>
      <c r="D19" s="4">
        <v>116284</v>
      </c>
      <c r="E19" s="5">
        <v>46255</v>
      </c>
      <c r="F19">
        <f t="shared" si="0"/>
        <v>2026</v>
      </c>
      <c r="G19" t="str">
        <f t="shared" si="2"/>
        <v>August</v>
      </c>
      <c r="K19" s="18"/>
      <c r="L19" s="18"/>
      <c r="M19" s="18"/>
      <c r="N19" s="18"/>
      <c r="O19" s="18"/>
    </row>
    <row r="20" spans="1:15" ht="15" thickBot="1" x14ac:dyDescent="0.35">
      <c r="A20" s="3">
        <v>3019</v>
      </c>
      <c r="B20" s="4" t="s">
        <v>27</v>
      </c>
      <c r="C20" s="4" t="s">
        <v>15</v>
      </c>
      <c r="D20" s="4">
        <v>116283</v>
      </c>
      <c r="E20" s="5">
        <v>46505</v>
      </c>
      <c r="F20">
        <f t="shared" si="0"/>
        <v>2027</v>
      </c>
      <c r="G20" t="str">
        <f t="shared" si="2"/>
        <v>April</v>
      </c>
      <c r="K20" s="18"/>
      <c r="L20" s="18"/>
      <c r="M20" s="18"/>
      <c r="N20" s="18"/>
      <c r="O20" s="18"/>
    </row>
    <row r="21" spans="1:15" ht="15" thickBot="1" x14ac:dyDescent="0.35">
      <c r="A21" s="3">
        <v>3020</v>
      </c>
      <c r="B21" s="4" t="s">
        <v>28</v>
      </c>
      <c r="C21" s="4" t="s">
        <v>15</v>
      </c>
      <c r="D21" s="4">
        <v>99924</v>
      </c>
      <c r="E21" s="5">
        <v>46755</v>
      </c>
      <c r="F21">
        <f t="shared" si="0"/>
        <v>2028</v>
      </c>
      <c r="G21" t="str">
        <f t="shared" si="2"/>
        <v>January</v>
      </c>
    </row>
  </sheetData>
  <mergeCells count="2">
    <mergeCell ref="K2:N15"/>
    <mergeCell ref="K18:O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993AC-2D07-442A-ABB9-68688D5E59EB}">
  <dimension ref="A1:P21"/>
  <sheetViews>
    <sheetView workbookViewId="0">
      <selection activeCell="K13" sqref="K13"/>
    </sheetView>
  </sheetViews>
  <sheetFormatPr defaultRowHeight="14.4" x14ac:dyDescent="0.3"/>
  <cols>
    <col min="1" max="1" width="7.44140625" bestFit="1" customWidth="1"/>
    <col min="2" max="2" width="8.6640625" bestFit="1" customWidth="1"/>
    <col min="3" max="3" width="6.77734375" bestFit="1" customWidth="1"/>
    <col min="4" max="4" width="11" bestFit="1" customWidth="1"/>
    <col min="5" max="5" width="7.88671875" bestFit="1" customWidth="1"/>
    <col min="6" max="6" width="14.6640625" bestFit="1" customWidth="1"/>
  </cols>
  <sheetData>
    <row r="1" spans="1:16" ht="15" thickBot="1" x14ac:dyDescent="0.35">
      <c r="A1" s="1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</row>
    <row r="2" spans="1:16" ht="15" thickBot="1" x14ac:dyDescent="0.35">
      <c r="A2" s="3">
        <v>2001</v>
      </c>
      <c r="B2" s="4" t="s">
        <v>35</v>
      </c>
      <c r="C2" s="4" t="s">
        <v>36</v>
      </c>
      <c r="D2" s="4" t="s">
        <v>37</v>
      </c>
      <c r="E2" s="4">
        <v>7048</v>
      </c>
      <c r="F2" s="5">
        <v>44927</v>
      </c>
    </row>
    <row r="3" spans="1:16" ht="15" thickBot="1" x14ac:dyDescent="0.35">
      <c r="A3" s="3">
        <v>2002</v>
      </c>
      <c r="B3" s="4" t="s">
        <v>38</v>
      </c>
      <c r="C3" s="4" t="s">
        <v>39</v>
      </c>
      <c r="D3" s="4" t="s">
        <v>40</v>
      </c>
      <c r="E3" s="4">
        <v>17428</v>
      </c>
      <c r="F3" s="5">
        <v>44942</v>
      </c>
      <c r="K3" s="14" t="s">
        <v>105</v>
      </c>
      <c r="L3" s="14"/>
      <c r="M3" s="14"/>
      <c r="N3" s="14"/>
      <c r="O3" s="14"/>
      <c r="P3" s="14"/>
    </row>
    <row r="4" spans="1:16" ht="15" thickBot="1" x14ac:dyDescent="0.35">
      <c r="A4" s="3">
        <v>2003</v>
      </c>
      <c r="B4" s="4" t="s">
        <v>41</v>
      </c>
      <c r="C4" s="4" t="s">
        <v>36</v>
      </c>
      <c r="D4" s="4" t="s">
        <v>42</v>
      </c>
      <c r="E4" s="4">
        <v>23672</v>
      </c>
      <c r="F4" s="5">
        <v>44957</v>
      </c>
      <c r="K4" s="14"/>
      <c r="L4" s="14"/>
      <c r="M4" s="14"/>
      <c r="N4" s="14"/>
      <c r="O4" s="14"/>
      <c r="P4" s="14"/>
    </row>
    <row r="5" spans="1:16" ht="15" thickBot="1" x14ac:dyDescent="0.35">
      <c r="A5" s="3">
        <v>2004</v>
      </c>
      <c r="B5" s="4" t="s">
        <v>38</v>
      </c>
      <c r="C5" s="4" t="s">
        <v>43</v>
      </c>
      <c r="D5" s="4" t="s">
        <v>44</v>
      </c>
      <c r="E5" s="4">
        <v>5264</v>
      </c>
      <c r="F5" s="5">
        <v>44972</v>
      </c>
      <c r="K5" s="14"/>
      <c r="L5" s="14"/>
      <c r="M5" s="14"/>
      <c r="N5" s="14"/>
      <c r="O5" s="14"/>
      <c r="P5" s="14"/>
    </row>
    <row r="6" spans="1:16" ht="15" thickBot="1" x14ac:dyDescent="0.35">
      <c r="A6" s="3">
        <v>2005</v>
      </c>
      <c r="B6" s="4" t="s">
        <v>35</v>
      </c>
      <c r="C6" s="4" t="s">
        <v>45</v>
      </c>
      <c r="D6" s="4" t="s">
        <v>46</v>
      </c>
      <c r="E6" s="4">
        <v>43388</v>
      </c>
      <c r="F6" s="5">
        <v>44987</v>
      </c>
    </row>
    <row r="7" spans="1:16" ht="15" thickBot="1" x14ac:dyDescent="0.35">
      <c r="A7" s="3">
        <v>2006</v>
      </c>
      <c r="B7" s="4" t="s">
        <v>41</v>
      </c>
      <c r="C7" s="4" t="s">
        <v>45</v>
      </c>
      <c r="D7" s="4" t="s">
        <v>47</v>
      </c>
      <c r="E7" s="4">
        <v>19757</v>
      </c>
      <c r="F7" s="5">
        <v>45002</v>
      </c>
      <c r="K7" t="s">
        <v>94</v>
      </c>
      <c r="L7">
        <f>VLOOKUP("Mouse",B2:F21,4,FALSE)</f>
        <v>23672</v>
      </c>
    </row>
    <row r="8" spans="1:16" ht="15" thickBot="1" x14ac:dyDescent="0.35">
      <c r="A8" s="3">
        <v>2007</v>
      </c>
      <c r="B8" s="4" t="s">
        <v>41</v>
      </c>
      <c r="C8" s="4" t="s">
        <v>43</v>
      </c>
      <c r="D8" s="4" t="s">
        <v>48</v>
      </c>
      <c r="E8" s="4">
        <v>32058</v>
      </c>
      <c r="F8" s="5">
        <v>45017</v>
      </c>
    </row>
    <row r="9" spans="1:16" ht="15" thickBot="1" x14ac:dyDescent="0.35">
      <c r="A9" s="3">
        <v>2008</v>
      </c>
      <c r="B9" s="4" t="s">
        <v>35</v>
      </c>
      <c r="C9" s="4" t="s">
        <v>43</v>
      </c>
      <c r="D9" s="4" t="s">
        <v>49</v>
      </c>
      <c r="E9" s="4">
        <v>46429</v>
      </c>
      <c r="F9" s="5">
        <v>45032</v>
      </c>
    </row>
    <row r="10" spans="1:16" ht="15" thickBot="1" x14ac:dyDescent="0.35">
      <c r="A10" s="3">
        <v>2009</v>
      </c>
      <c r="B10" s="4" t="s">
        <v>38</v>
      </c>
      <c r="C10" s="4" t="s">
        <v>43</v>
      </c>
      <c r="D10" s="4" t="s">
        <v>50</v>
      </c>
      <c r="E10" s="4">
        <v>19746</v>
      </c>
      <c r="F10" s="5">
        <v>45047</v>
      </c>
    </row>
    <row r="11" spans="1:16" ht="15" thickBot="1" x14ac:dyDescent="0.35">
      <c r="A11" s="3">
        <v>2010</v>
      </c>
      <c r="B11" s="4" t="s">
        <v>35</v>
      </c>
      <c r="C11" s="4" t="s">
        <v>36</v>
      </c>
      <c r="D11" s="4" t="s">
        <v>51</v>
      </c>
      <c r="E11" s="4">
        <v>35185</v>
      </c>
      <c r="F11" s="5">
        <v>45062</v>
      </c>
    </row>
    <row r="12" spans="1:16" ht="15" thickBot="1" x14ac:dyDescent="0.35">
      <c r="A12" s="3">
        <v>2011</v>
      </c>
      <c r="B12" s="4" t="s">
        <v>35</v>
      </c>
      <c r="C12" s="4" t="s">
        <v>43</v>
      </c>
      <c r="D12" s="4" t="s">
        <v>52</v>
      </c>
      <c r="E12" s="4">
        <v>33920</v>
      </c>
      <c r="F12" s="5">
        <v>45077</v>
      </c>
    </row>
    <row r="13" spans="1:16" ht="15" thickBot="1" x14ac:dyDescent="0.35">
      <c r="A13" s="3">
        <v>2012</v>
      </c>
      <c r="B13" s="4" t="s">
        <v>53</v>
      </c>
      <c r="C13" s="4" t="s">
        <v>45</v>
      </c>
      <c r="D13" s="4" t="s">
        <v>54</v>
      </c>
      <c r="E13" s="4">
        <v>35611</v>
      </c>
      <c r="F13" s="5">
        <v>45092</v>
      </c>
    </row>
    <row r="14" spans="1:16" ht="15" thickBot="1" x14ac:dyDescent="0.35">
      <c r="A14" s="3">
        <v>2013</v>
      </c>
      <c r="B14" s="4" t="s">
        <v>55</v>
      </c>
      <c r="C14" s="4" t="s">
        <v>43</v>
      </c>
      <c r="D14" s="4" t="s">
        <v>56</v>
      </c>
      <c r="E14" s="4">
        <v>15560</v>
      </c>
      <c r="F14" s="5">
        <v>45107</v>
      </c>
    </row>
    <row r="15" spans="1:16" ht="15" thickBot="1" x14ac:dyDescent="0.35">
      <c r="A15" s="3">
        <v>2014</v>
      </c>
      <c r="B15" s="4" t="s">
        <v>55</v>
      </c>
      <c r="C15" s="4" t="s">
        <v>36</v>
      </c>
      <c r="D15" s="4" t="s">
        <v>57</v>
      </c>
      <c r="E15" s="4">
        <v>7283</v>
      </c>
      <c r="F15" s="5">
        <v>45122</v>
      </c>
    </row>
    <row r="16" spans="1:16" ht="15" thickBot="1" x14ac:dyDescent="0.35">
      <c r="A16" s="3">
        <v>2015</v>
      </c>
      <c r="B16" s="4" t="s">
        <v>55</v>
      </c>
      <c r="C16" s="4" t="s">
        <v>43</v>
      </c>
      <c r="D16" s="4" t="s">
        <v>58</v>
      </c>
      <c r="E16" s="4">
        <v>15678</v>
      </c>
      <c r="F16" s="5">
        <v>45137</v>
      </c>
    </row>
    <row r="17" spans="1:6" ht="15" thickBot="1" x14ac:dyDescent="0.35">
      <c r="A17" s="3">
        <v>2016</v>
      </c>
      <c r="B17" s="4" t="s">
        <v>41</v>
      </c>
      <c r="C17" s="4" t="s">
        <v>43</v>
      </c>
      <c r="D17" s="4" t="s">
        <v>59</v>
      </c>
      <c r="E17" s="4">
        <v>5277</v>
      </c>
      <c r="F17" s="5">
        <v>45152</v>
      </c>
    </row>
    <row r="18" spans="1:6" ht="15" thickBot="1" x14ac:dyDescent="0.35">
      <c r="A18" s="3">
        <v>2017</v>
      </c>
      <c r="B18" s="4" t="s">
        <v>53</v>
      </c>
      <c r="C18" s="4" t="s">
        <v>45</v>
      </c>
      <c r="D18" s="4" t="s">
        <v>60</v>
      </c>
      <c r="E18" s="4">
        <v>41871</v>
      </c>
      <c r="F18" s="5">
        <v>45167</v>
      </c>
    </row>
    <row r="19" spans="1:6" ht="15" thickBot="1" x14ac:dyDescent="0.35">
      <c r="A19" s="3">
        <v>2018</v>
      </c>
      <c r="B19" s="4" t="s">
        <v>53</v>
      </c>
      <c r="C19" s="4" t="s">
        <v>39</v>
      </c>
      <c r="D19" s="4" t="s">
        <v>61</v>
      </c>
      <c r="E19" s="4">
        <v>38161</v>
      </c>
      <c r="F19" s="5">
        <v>45182</v>
      </c>
    </row>
    <row r="20" spans="1:6" ht="15" thickBot="1" x14ac:dyDescent="0.35">
      <c r="A20" s="3">
        <v>2019</v>
      </c>
      <c r="B20" s="4" t="s">
        <v>41</v>
      </c>
      <c r="C20" s="4" t="s">
        <v>39</v>
      </c>
      <c r="D20" s="4" t="s">
        <v>62</v>
      </c>
      <c r="E20" s="4">
        <v>30436</v>
      </c>
      <c r="F20" s="5">
        <v>45197</v>
      </c>
    </row>
    <row r="21" spans="1:6" ht="15" thickBot="1" x14ac:dyDescent="0.35">
      <c r="A21" s="3">
        <v>2020</v>
      </c>
      <c r="B21" s="4" t="s">
        <v>38</v>
      </c>
      <c r="C21" s="4" t="s">
        <v>39</v>
      </c>
      <c r="D21" s="4" t="s">
        <v>63</v>
      </c>
      <c r="E21" s="4">
        <v>33953</v>
      </c>
      <c r="F21" s="5">
        <v>45212</v>
      </c>
    </row>
  </sheetData>
  <mergeCells count="1">
    <mergeCell ref="K3:P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8FFF3-8097-4ED9-B10F-CE4B944EF84A}">
  <dimension ref="A1:T34"/>
  <sheetViews>
    <sheetView topLeftCell="A20" workbookViewId="0">
      <selection activeCell="K13" sqref="K13"/>
    </sheetView>
  </sheetViews>
  <sheetFormatPr defaultRowHeight="14.4" x14ac:dyDescent="0.3"/>
  <cols>
    <col min="1" max="1" width="9.88671875" bestFit="1" customWidth="1"/>
    <col min="2" max="2" width="9.6640625" bestFit="1" customWidth="1"/>
    <col min="3" max="3" width="5.5546875" bestFit="1" customWidth="1"/>
    <col min="4" max="4" width="7.33203125" bestFit="1" customWidth="1"/>
    <col min="5" max="5" width="6.88671875" bestFit="1" customWidth="1"/>
    <col min="6" max="6" width="14.6640625" bestFit="1" customWidth="1"/>
    <col min="13" max="13" width="9.33203125" bestFit="1" customWidth="1"/>
  </cols>
  <sheetData>
    <row r="1" spans="1:20" ht="15" thickBot="1" x14ac:dyDescent="0.35">
      <c r="A1" s="1" t="s">
        <v>64</v>
      </c>
      <c r="B1" s="2" t="s">
        <v>1</v>
      </c>
      <c r="C1" s="2" t="s">
        <v>65</v>
      </c>
      <c r="D1" s="2" t="s">
        <v>66</v>
      </c>
      <c r="E1" s="2" t="s">
        <v>67</v>
      </c>
      <c r="F1" s="2" t="s">
        <v>68</v>
      </c>
      <c r="G1" s="7" t="s">
        <v>90</v>
      </c>
      <c r="H1" s="7" t="s">
        <v>89</v>
      </c>
    </row>
    <row r="2" spans="1:20" ht="15" thickBot="1" x14ac:dyDescent="0.35">
      <c r="A2" s="3">
        <v>1001</v>
      </c>
      <c r="B2" s="4" t="s">
        <v>69</v>
      </c>
      <c r="C2" s="4">
        <v>61</v>
      </c>
      <c r="D2" s="4">
        <v>48</v>
      </c>
      <c r="E2" s="4">
        <v>76</v>
      </c>
      <c r="F2" s="5">
        <v>43101</v>
      </c>
      <c r="G2">
        <f>AVERAGE(C2:E2)</f>
        <v>61.666666666666664</v>
      </c>
      <c r="H2" s="8" t="str">
        <f>IF(G2&gt;=90,"A",
 IF(G2&gt;=80,"B",
 IF(G2&gt;=70,"C",
 IF(G2&gt;=60,"D","F"))))</f>
        <v>D</v>
      </c>
    </row>
    <row r="3" spans="1:20" ht="15" thickBot="1" x14ac:dyDescent="0.35">
      <c r="A3" s="3">
        <v>1002</v>
      </c>
      <c r="B3" s="4" t="s">
        <v>70</v>
      </c>
      <c r="C3" s="4">
        <v>78</v>
      </c>
      <c r="D3" s="4">
        <v>76</v>
      </c>
      <c r="E3" s="4">
        <v>70</v>
      </c>
      <c r="F3" s="5">
        <v>43281</v>
      </c>
      <c r="G3">
        <f t="shared" ref="G2:G21" si="0">AVERAGE(C3:E3)</f>
        <v>74.666666666666671</v>
      </c>
      <c r="H3" s="8" t="str">
        <f t="shared" ref="H3:H21" si="1">IF(G3&gt;=90,"A",
 IF(G3&gt;=80,"B",
 IF(G3&gt;=70,"C",
 IF(G3&gt;=60,"D","F"))))</f>
        <v>C</v>
      </c>
      <c r="K3" s="13" t="s">
        <v>104</v>
      </c>
      <c r="L3" s="11"/>
      <c r="M3" s="11"/>
    </row>
    <row r="4" spans="1:20" ht="15" thickBot="1" x14ac:dyDescent="0.35">
      <c r="A4" s="3">
        <v>1003</v>
      </c>
      <c r="B4" s="4" t="s">
        <v>71</v>
      </c>
      <c r="C4" s="4">
        <v>97</v>
      </c>
      <c r="D4" s="4">
        <v>60</v>
      </c>
      <c r="E4" s="4">
        <v>51</v>
      </c>
      <c r="F4" s="5">
        <v>43461</v>
      </c>
      <c r="G4">
        <f t="shared" si="0"/>
        <v>69.333333333333329</v>
      </c>
      <c r="H4" s="8" t="str">
        <f t="shared" si="1"/>
        <v>D</v>
      </c>
      <c r="K4" s="11"/>
      <c r="L4" s="11"/>
      <c r="M4" s="11"/>
      <c r="P4" s="10" t="s">
        <v>101</v>
      </c>
      <c r="Q4" s="11"/>
      <c r="R4" s="11"/>
      <c r="S4" s="11"/>
      <c r="T4" s="11"/>
    </row>
    <row r="5" spans="1:20" ht="15" thickBot="1" x14ac:dyDescent="0.35">
      <c r="A5" s="3">
        <v>1004</v>
      </c>
      <c r="B5" s="4" t="s">
        <v>72</v>
      </c>
      <c r="C5" s="4">
        <v>74</v>
      </c>
      <c r="D5" s="4">
        <v>55</v>
      </c>
      <c r="E5" s="4">
        <v>46</v>
      </c>
      <c r="F5" s="5">
        <v>43641</v>
      </c>
      <c r="G5">
        <f t="shared" si="0"/>
        <v>58.333333333333336</v>
      </c>
      <c r="H5" s="8" t="str">
        <f t="shared" si="1"/>
        <v>F</v>
      </c>
      <c r="K5" s="11"/>
      <c r="L5" s="11"/>
      <c r="M5" s="11"/>
      <c r="P5" s="11"/>
      <c r="Q5" s="11"/>
      <c r="R5" s="11"/>
      <c r="S5" s="11"/>
      <c r="T5" s="11"/>
    </row>
    <row r="6" spans="1:20" ht="15" thickBot="1" x14ac:dyDescent="0.35">
      <c r="A6" s="3">
        <v>1005</v>
      </c>
      <c r="B6" s="4" t="s">
        <v>73</v>
      </c>
      <c r="C6" s="4">
        <v>68</v>
      </c>
      <c r="D6" s="4">
        <v>74</v>
      </c>
      <c r="E6" s="4">
        <v>84</v>
      </c>
      <c r="F6" s="5">
        <v>43821</v>
      </c>
      <c r="G6">
        <f t="shared" si="0"/>
        <v>75.333333333333329</v>
      </c>
      <c r="H6" s="8" t="str">
        <f t="shared" si="1"/>
        <v>C</v>
      </c>
      <c r="K6" s="11"/>
      <c r="L6" s="11"/>
      <c r="M6" s="11"/>
      <c r="P6" s="11"/>
      <c r="Q6" s="11"/>
      <c r="R6" s="11"/>
      <c r="S6" s="11"/>
      <c r="T6" s="11"/>
    </row>
    <row r="7" spans="1:20" ht="15" thickBot="1" x14ac:dyDescent="0.35">
      <c r="A7" s="3">
        <v>1006</v>
      </c>
      <c r="B7" s="4" t="s">
        <v>74</v>
      </c>
      <c r="C7" s="4">
        <v>80</v>
      </c>
      <c r="D7" s="4">
        <v>70</v>
      </c>
      <c r="E7" s="4">
        <v>65</v>
      </c>
      <c r="F7" s="5">
        <v>44001</v>
      </c>
      <c r="G7">
        <f t="shared" si="0"/>
        <v>71.666666666666671</v>
      </c>
      <c r="H7" s="8" t="str">
        <f t="shared" si="1"/>
        <v>C</v>
      </c>
      <c r="K7" s="11"/>
      <c r="L7" s="11"/>
      <c r="M7" s="11"/>
    </row>
    <row r="8" spans="1:20" ht="15" thickBot="1" x14ac:dyDescent="0.35">
      <c r="A8" s="3">
        <v>1007</v>
      </c>
      <c r="B8" s="4" t="s">
        <v>75</v>
      </c>
      <c r="C8" s="4">
        <v>75</v>
      </c>
      <c r="D8" s="4">
        <v>47</v>
      </c>
      <c r="E8" s="4">
        <v>78</v>
      </c>
      <c r="F8" s="5">
        <v>44181</v>
      </c>
      <c r="G8">
        <f t="shared" si="0"/>
        <v>66.666666666666671</v>
      </c>
      <c r="H8" s="8" t="str">
        <f t="shared" si="1"/>
        <v>D</v>
      </c>
      <c r="K8" s="11"/>
      <c r="L8" s="11"/>
      <c r="M8" s="11"/>
      <c r="P8" t="s">
        <v>91</v>
      </c>
      <c r="T8">
        <f>COUNTIFS(C2:C21,"&gt;60")</f>
        <v>19</v>
      </c>
    </row>
    <row r="9" spans="1:20" ht="15" thickBot="1" x14ac:dyDescent="0.35">
      <c r="A9" s="3">
        <v>1008</v>
      </c>
      <c r="B9" s="4" t="s">
        <v>76</v>
      </c>
      <c r="C9" s="4">
        <v>94</v>
      </c>
      <c r="D9" s="4">
        <v>67</v>
      </c>
      <c r="E9" s="4">
        <v>64</v>
      </c>
      <c r="F9" s="5">
        <v>44361</v>
      </c>
      <c r="G9">
        <f t="shared" si="0"/>
        <v>75</v>
      </c>
      <c r="H9" s="8" t="str">
        <f t="shared" si="1"/>
        <v>C</v>
      </c>
      <c r="K9" s="11"/>
      <c r="L9" s="11"/>
      <c r="M9" s="11"/>
    </row>
    <row r="10" spans="1:20" ht="15" thickBot="1" x14ac:dyDescent="0.35">
      <c r="A10" s="3">
        <v>1009</v>
      </c>
      <c r="B10" s="4" t="s">
        <v>77</v>
      </c>
      <c r="C10" s="4">
        <v>41</v>
      </c>
      <c r="D10" s="4">
        <v>75</v>
      </c>
      <c r="E10" s="4">
        <v>56</v>
      </c>
      <c r="F10" s="5">
        <v>44541</v>
      </c>
      <c r="G10">
        <f t="shared" si="0"/>
        <v>57.333333333333336</v>
      </c>
      <c r="H10" s="8" t="str">
        <f t="shared" si="1"/>
        <v>F</v>
      </c>
      <c r="K10" s="11"/>
      <c r="L10" s="11"/>
      <c r="M10" s="11"/>
      <c r="P10" s="10" t="s">
        <v>100</v>
      </c>
      <c r="Q10" s="11"/>
      <c r="R10" s="11"/>
      <c r="S10" s="11"/>
      <c r="T10" s="11"/>
    </row>
    <row r="11" spans="1:20" ht="15" thickBot="1" x14ac:dyDescent="0.35">
      <c r="A11" s="3">
        <v>1010</v>
      </c>
      <c r="B11" s="4" t="s">
        <v>78</v>
      </c>
      <c r="C11" s="4">
        <v>98</v>
      </c>
      <c r="D11" s="4">
        <v>54</v>
      </c>
      <c r="E11" s="4">
        <v>58</v>
      </c>
      <c r="F11" s="5">
        <v>44721</v>
      </c>
      <c r="G11">
        <f t="shared" si="0"/>
        <v>70</v>
      </c>
      <c r="H11" s="8" t="str">
        <f t="shared" si="1"/>
        <v>C</v>
      </c>
      <c r="K11" s="11"/>
      <c r="L11" s="11"/>
      <c r="M11" s="11"/>
      <c r="P11" s="11"/>
      <c r="Q11" s="11"/>
      <c r="R11" s="11"/>
      <c r="S11" s="11"/>
      <c r="T11" s="11"/>
    </row>
    <row r="12" spans="1:20" ht="15" thickBot="1" x14ac:dyDescent="0.35">
      <c r="A12" s="3">
        <v>1011</v>
      </c>
      <c r="B12" s="4" t="s">
        <v>79</v>
      </c>
      <c r="C12" s="4">
        <v>73</v>
      </c>
      <c r="D12" s="4">
        <v>79</v>
      </c>
      <c r="E12" s="4">
        <v>53</v>
      </c>
      <c r="F12" s="5">
        <v>44901</v>
      </c>
      <c r="G12">
        <f t="shared" si="0"/>
        <v>68.333333333333329</v>
      </c>
      <c r="H12" s="8" t="str">
        <f t="shared" si="1"/>
        <v>D</v>
      </c>
      <c r="K12" s="11"/>
      <c r="L12" s="11"/>
      <c r="M12" s="11"/>
      <c r="P12" s="11"/>
      <c r="Q12" s="11"/>
      <c r="R12" s="11"/>
      <c r="S12" s="11"/>
      <c r="T12" s="11"/>
    </row>
    <row r="13" spans="1:20" ht="15" thickBot="1" x14ac:dyDescent="0.35">
      <c r="A13" s="3">
        <v>1012</v>
      </c>
      <c r="B13" s="4" t="s">
        <v>80</v>
      </c>
      <c r="C13" s="4">
        <v>85</v>
      </c>
      <c r="D13" s="4">
        <v>89</v>
      </c>
      <c r="E13" s="4">
        <v>79</v>
      </c>
      <c r="F13" s="5">
        <v>45081</v>
      </c>
      <c r="G13">
        <f t="shared" si="0"/>
        <v>84.333333333333329</v>
      </c>
      <c r="H13" s="8" t="str">
        <f t="shared" si="1"/>
        <v>B</v>
      </c>
      <c r="P13" s="11"/>
      <c r="Q13" s="11"/>
      <c r="R13" s="11"/>
      <c r="S13" s="11"/>
      <c r="T13" s="11"/>
    </row>
    <row r="14" spans="1:20" ht="15" thickBot="1" x14ac:dyDescent="0.35">
      <c r="A14" s="3">
        <v>1013</v>
      </c>
      <c r="B14" s="4" t="s">
        <v>81</v>
      </c>
      <c r="C14" s="4">
        <v>98</v>
      </c>
      <c r="D14" s="4">
        <v>90</v>
      </c>
      <c r="E14" s="4">
        <v>97</v>
      </c>
      <c r="F14" s="5">
        <v>45261</v>
      </c>
      <c r="G14">
        <f t="shared" si="0"/>
        <v>95</v>
      </c>
      <c r="H14" s="8" t="str">
        <f t="shared" si="1"/>
        <v>A</v>
      </c>
    </row>
    <row r="15" spans="1:20" ht="15" thickBot="1" x14ac:dyDescent="0.35">
      <c r="A15" s="3">
        <v>1014</v>
      </c>
      <c r="B15" s="4" t="s">
        <v>82</v>
      </c>
      <c r="C15" s="4">
        <v>93</v>
      </c>
      <c r="D15" s="4">
        <v>40</v>
      </c>
      <c r="E15" s="4">
        <v>44</v>
      </c>
      <c r="F15" s="5">
        <v>45441</v>
      </c>
      <c r="G15">
        <f t="shared" si="0"/>
        <v>59</v>
      </c>
      <c r="H15" s="8" t="str">
        <f t="shared" si="1"/>
        <v>F</v>
      </c>
      <c r="P15" t="s">
        <v>92</v>
      </c>
      <c r="T15">
        <f>COUNTIFS(E2:E21,"&gt;60")</f>
        <v>10</v>
      </c>
    </row>
    <row r="16" spans="1:20" ht="15" thickBot="1" x14ac:dyDescent="0.35">
      <c r="A16" s="3">
        <v>1015</v>
      </c>
      <c r="B16" s="4" t="s">
        <v>83</v>
      </c>
      <c r="C16" s="4">
        <v>70</v>
      </c>
      <c r="D16" s="4">
        <v>51</v>
      </c>
      <c r="E16" s="4">
        <v>75</v>
      </c>
      <c r="F16" s="5">
        <v>45621</v>
      </c>
      <c r="G16">
        <f t="shared" si="0"/>
        <v>65.333333333333329</v>
      </c>
      <c r="H16" s="8" t="str">
        <f t="shared" si="1"/>
        <v>D</v>
      </c>
    </row>
    <row r="17" spans="1:20" ht="15" thickBot="1" x14ac:dyDescent="0.35">
      <c r="A17" s="3">
        <v>1016</v>
      </c>
      <c r="B17" s="4" t="s">
        <v>84</v>
      </c>
      <c r="C17" s="4">
        <v>98</v>
      </c>
      <c r="D17" s="4">
        <v>77</v>
      </c>
      <c r="E17" s="4">
        <v>60</v>
      </c>
      <c r="F17" s="5">
        <v>45801</v>
      </c>
      <c r="G17">
        <f t="shared" si="0"/>
        <v>78.333333333333329</v>
      </c>
      <c r="H17" s="8" t="str">
        <f t="shared" si="1"/>
        <v>C</v>
      </c>
    </row>
    <row r="18" spans="1:20" ht="15" thickBot="1" x14ac:dyDescent="0.35">
      <c r="A18" s="3">
        <v>1017</v>
      </c>
      <c r="B18" s="4" t="s">
        <v>85</v>
      </c>
      <c r="C18" s="4">
        <v>66</v>
      </c>
      <c r="D18" s="4">
        <v>59</v>
      </c>
      <c r="E18" s="4">
        <v>40</v>
      </c>
      <c r="F18" s="5">
        <v>45981</v>
      </c>
      <c r="G18">
        <f t="shared" si="0"/>
        <v>55</v>
      </c>
      <c r="H18" s="8" t="str">
        <f t="shared" si="1"/>
        <v>F</v>
      </c>
      <c r="P18" s="10" t="s">
        <v>102</v>
      </c>
      <c r="Q18" s="11"/>
      <c r="R18" s="11"/>
      <c r="S18" s="11"/>
      <c r="T18" s="11"/>
    </row>
    <row r="19" spans="1:20" ht="15" thickBot="1" x14ac:dyDescent="0.35">
      <c r="A19" s="3">
        <v>1018</v>
      </c>
      <c r="B19" s="4" t="s">
        <v>86</v>
      </c>
      <c r="C19" s="4">
        <v>82</v>
      </c>
      <c r="D19" s="4">
        <v>48</v>
      </c>
      <c r="E19" s="4">
        <v>79</v>
      </c>
      <c r="F19" s="5">
        <v>46161</v>
      </c>
      <c r="G19">
        <f t="shared" si="0"/>
        <v>69.666666666666671</v>
      </c>
      <c r="H19" s="8" t="str">
        <f t="shared" si="1"/>
        <v>D</v>
      </c>
      <c r="P19" s="11"/>
      <c r="Q19" s="11"/>
      <c r="R19" s="11"/>
      <c r="S19" s="11"/>
      <c r="T19" s="11"/>
    </row>
    <row r="20" spans="1:20" ht="15" thickBot="1" x14ac:dyDescent="0.35">
      <c r="A20" s="3">
        <v>1019</v>
      </c>
      <c r="B20" s="4" t="s">
        <v>87</v>
      </c>
      <c r="C20" s="4">
        <v>90</v>
      </c>
      <c r="D20" s="4">
        <v>78</v>
      </c>
      <c r="E20" s="4">
        <v>60</v>
      </c>
      <c r="F20" s="5">
        <v>46341</v>
      </c>
      <c r="G20">
        <f t="shared" si="0"/>
        <v>76</v>
      </c>
      <c r="H20" s="8" t="str">
        <f t="shared" si="1"/>
        <v>C</v>
      </c>
      <c r="P20" s="11"/>
      <c r="Q20" s="11"/>
      <c r="R20" s="11"/>
      <c r="S20" s="11"/>
      <c r="T20" s="11"/>
    </row>
    <row r="21" spans="1:20" ht="15" thickBot="1" x14ac:dyDescent="0.35">
      <c r="A21" s="3">
        <v>1020</v>
      </c>
      <c r="B21" s="4" t="s">
        <v>88</v>
      </c>
      <c r="C21" s="4">
        <v>83</v>
      </c>
      <c r="D21" s="4">
        <v>92</v>
      </c>
      <c r="E21" s="4">
        <v>55</v>
      </c>
      <c r="F21" s="5">
        <v>46521</v>
      </c>
      <c r="G21">
        <f t="shared" si="0"/>
        <v>76.666666666666671</v>
      </c>
      <c r="H21" s="8" t="str">
        <f t="shared" si="1"/>
        <v>C</v>
      </c>
      <c r="P21" s="11"/>
      <c r="Q21" s="11"/>
      <c r="R21" s="11"/>
      <c r="S21" s="11"/>
      <c r="T21" s="11"/>
    </row>
    <row r="23" spans="1:20" x14ac:dyDescent="0.3">
      <c r="P23" t="s">
        <v>93</v>
      </c>
      <c r="T23">
        <f>COUNTIFS(D2:D21,"&gt;60")</f>
        <v>11</v>
      </c>
    </row>
    <row r="26" spans="1:20" x14ac:dyDescent="0.3">
      <c r="B26" s="12" t="s">
        <v>103</v>
      </c>
      <c r="C26" s="10"/>
      <c r="D26" s="10"/>
      <c r="E26" s="10"/>
      <c r="F26" s="10"/>
      <c r="G26" s="10"/>
      <c r="H26" s="10"/>
      <c r="I26" s="10"/>
    </row>
    <row r="27" spans="1:20" x14ac:dyDescent="0.3">
      <c r="B27" s="10"/>
      <c r="C27" s="10"/>
      <c r="D27" s="10"/>
      <c r="E27" s="10"/>
      <c r="F27" s="10"/>
      <c r="G27" s="10"/>
      <c r="H27" s="10"/>
      <c r="I27" s="10"/>
    </row>
    <row r="28" spans="1:20" x14ac:dyDescent="0.3">
      <c r="B28" s="10"/>
      <c r="C28" s="10"/>
      <c r="D28" s="10"/>
      <c r="E28" s="10"/>
      <c r="F28" s="10"/>
      <c r="G28" s="10"/>
      <c r="H28" s="10"/>
      <c r="I28" s="10"/>
    </row>
    <row r="29" spans="1:20" x14ac:dyDescent="0.3">
      <c r="B29" s="10"/>
      <c r="C29" s="10"/>
      <c r="D29" s="10"/>
      <c r="E29" s="10"/>
      <c r="F29" s="10"/>
      <c r="G29" s="10"/>
      <c r="H29" s="10"/>
      <c r="I29" s="10"/>
    </row>
    <row r="30" spans="1:20" x14ac:dyDescent="0.3">
      <c r="B30" s="10"/>
      <c r="C30" s="10"/>
      <c r="D30" s="10"/>
      <c r="E30" s="10"/>
      <c r="F30" s="10"/>
      <c r="G30" s="10"/>
      <c r="H30" s="10"/>
      <c r="I30" s="10"/>
    </row>
    <row r="33" spans="2:11" ht="28.8" x14ac:dyDescent="0.3">
      <c r="B33" s="9" t="s">
        <v>99</v>
      </c>
      <c r="D33" cm="1">
        <f t="array" ref="D33:K34">_xlfn._xlws.FILTER(A2:H21,G2:G21&gt;80)</f>
        <v>1012</v>
      </c>
      <c r="E33" t="str">
        <v>Student 12</v>
      </c>
      <c r="F33">
        <v>85</v>
      </c>
      <c r="G33">
        <v>89</v>
      </c>
      <c r="H33">
        <v>79</v>
      </c>
      <c r="I33">
        <v>45081</v>
      </c>
      <c r="J33">
        <v>84.333333333333329</v>
      </c>
      <c r="K33" t="str">
        <v>B</v>
      </c>
    </row>
    <row r="34" spans="2:11" x14ac:dyDescent="0.3">
      <c r="D34">
        <v>1013</v>
      </c>
      <c r="E34" t="str">
        <v>Student 13</v>
      </c>
      <c r="F34">
        <v>98</v>
      </c>
      <c r="G34">
        <v>90</v>
      </c>
      <c r="H34">
        <v>97</v>
      </c>
      <c r="I34">
        <v>45261</v>
      </c>
      <c r="J34">
        <v>95</v>
      </c>
      <c r="K34" t="str">
        <v>A</v>
      </c>
    </row>
  </sheetData>
  <mergeCells count="5">
    <mergeCell ref="P4:T6"/>
    <mergeCell ref="P10:T13"/>
    <mergeCell ref="P18:T21"/>
    <mergeCell ref="B26:I30"/>
    <mergeCell ref="K3:M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</vt:lpstr>
      <vt:lpstr>sales</vt:lpstr>
      <vt:lpstr>student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anuj rasaily</dc:creator>
  <cp:lastModifiedBy>anuj rasaily</cp:lastModifiedBy>
  <dcterms:created xsi:type="dcterms:W3CDTF">2026-02-19T19:48:15Z</dcterms:created>
  <dcterms:modified xsi:type="dcterms:W3CDTF">2026-02-21T12:15:28Z</dcterms:modified>
</cp:coreProperties>
</file>